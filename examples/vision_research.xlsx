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Setup (read m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C6E8C6"/>
      </patternFill>
    </fill>
    <fill>
      <patternFill patternType="solid">
        <fgColor rgb="00BBD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3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</cols>
  <sheetData>
    <row r="1">
      <c r="B1" s="1" t="inlineStr">
        <is>
          <t>Vision Research — ClearView Project</t>
        </is>
      </c>
    </row>
    <row r="2">
      <c r="B2" t="inlineStr">
        <is>
          <t>(in $millions)</t>
        </is>
      </c>
    </row>
    <row r="3">
      <c r="B3" t="inlineStr">
        <is>
          <t>Costs</t>
        </is>
      </c>
    </row>
    <row r="4">
      <c r="B4" t="inlineStr">
        <is>
          <t>Development Cost to Date</t>
        </is>
      </c>
      <c r="C4" t="n">
        <v>10</v>
      </c>
    </row>
    <row r="5">
      <c r="B5" t="inlineStr">
        <is>
          <t>Testing Costs</t>
        </is>
      </c>
      <c r="C5" s="2" t="n">
        <v>4</v>
      </c>
    </row>
    <row r="6">
      <c r="B6" t="inlineStr">
        <is>
          <t>Marketing Costs</t>
        </is>
      </c>
      <c r="C6" s="2" t="n">
        <v>16</v>
      </c>
    </row>
    <row r="7">
      <c r="B7" t="inlineStr">
        <is>
          <t>Total Costs</t>
        </is>
      </c>
      <c r="C7">
        <f>SUM(C4:C6)</f>
        <v/>
      </c>
    </row>
    <row r="9">
      <c r="B9" t="inlineStr">
        <is>
          <t>Drug Test (sample of 100)</t>
        </is>
      </c>
    </row>
    <row r="10">
      <c r="B10" t="inlineStr">
        <is>
          <t>Patients Cured</t>
        </is>
      </c>
      <c r="C10" s="2" t="n">
        <v>25</v>
      </c>
    </row>
    <row r="11">
      <c r="B11" t="inlineStr">
        <is>
          <t>FDA Approved if 20+ Cured</t>
        </is>
      </c>
      <c r="C11">
        <f>C10&gt;=20</f>
        <v/>
      </c>
    </row>
    <row r="13">
      <c r="B13" t="inlineStr">
        <is>
          <t>Market Study</t>
        </is>
      </c>
    </row>
    <row r="14">
      <c r="B14" t="inlineStr">
        <is>
          <t>Persons Nearsighted Today (MM)</t>
        </is>
      </c>
      <c r="C14" t="n">
        <v>40</v>
      </c>
    </row>
    <row r="15">
      <c r="B15" t="inlineStr">
        <is>
          <t>Growth Rate of Nearsightedness</t>
        </is>
      </c>
      <c r="C15" s="2" t="n">
        <v>0.02</v>
      </c>
    </row>
    <row r="16">
      <c r="B16" t="inlineStr">
        <is>
          <t>Persons Nearsighted After 1 Year</t>
        </is>
      </c>
      <c r="C16">
        <f>C14*(1+C15)</f>
        <v/>
      </c>
    </row>
    <row r="19">
      <c r="B19" t="inlineStr">
        <is>
          <t>Market Penetration</t>
        </is>
      </c>
      <c r="C19" s="2" t="n">
        <v>0.08</v>
      </c>
    </row>
    <row r="20">
      <c r="B20" t="inlineStr">
        <is>
          <t>Profit per Customer ($)</t>
        </is>
      </c>
      <c r="C20" t="n">
        <v>12</v>
      </c>
    </row>
    <row r="21">
      <c r="B21" t="inlineStr">
        <is>
          <t>Gross Profit if Approved (MM)</t>
        </is>
      </c>
      <c r="C21" s="3">
        <f>C16*C19*C20</f>
        <v/>
      </c>
    </row>
    <row r="23">
      <c r="B23" s="4" t="inlineStr">
        <is>
          <t>Net Profit (MM)</t>
        </is>
      </c>
      <c r="C23" s="3">
        <f>IF(C11,C21-C7,-C4-C5)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Vision Research (ClearView) — how to run this in the Crystal Ball Web add-in:</t>
        </is>
      </c>
    </row>
    <row r="2">
      <c r="A2" s="6" t="inlineStr"/>
    </row>
    <row r="3">
      <c r="A3" s="5" t="inlineStr">
        <is>
          <t>Assumptions (green cells) — select the cell, click “+ Assumption”, then set:</t>
        </is>
      </c>
    </row>
    <row r="4">
      <c r="A4" s="6" t="inlineStr">
        <is>
          <t xml:space="preserve">   C5  Testing Costs        -&gt;  Uniform, Minimum 3, Maximum 5</t>
        </is>
      </c>
    </row>
    <row r="5">
      <c r="A5" s="6" t="inlineStr">
        <is>
          <t xml:space="preserve">   C6  Marketing Costs      -&gt;  Triangular, Min 12, Likeliest 16, Max 18</t>
        </is>
      </c>
    </row>
    <row r="6">
      <c r="A6" s="6" t="inlineStr">
        <is>
          <t xml:space="preserve">   C10 Patients Cured       -&gt;  Binomial, Trials 100, Probability 0.25</t>
        </is>
      </c>
    </row>
    <row r="7">
      <c r="A7" s="6" t="inlineStr">
        <is>
          <t xml:space="preserve">   C15 Growth Rate          -&gt;  Custom (Outcomes box, one per line):</t>
        </is>
      </c>
    </row>
    <row r="8">
      <c r="A8" s="6" t="inlineStr">
        <is>
          <t xml:space="preserve">            0, 0.05, 0.75      (range 0%..5%, weight 75%)</t>
        </is>
      </c>
    </row>
    <row r="9">
      <c r="A9" s="6" t="inlineStr">
        <is>
          <t xml:space="preserve">            -0.15, -0.05, 0.25 (range -15%..-5%, weight 25%)</t>
        </is>
      </c>
    </row>
    <row r="10">
      <c r="A10" s="6" t="inlineStr">
        <is>
          <t xml:space="preserve">   C19 Market Penetration   -&gt;  Normal, Mean 0.08, Std. Dev. 0.02</t>
        </is>
      </c>
    </row>
    <row r="11">
      <c r="A11" s="6" t="inlineStr"/>
    </row>
    <row r="12">
      <c r="A12" s="5" t="inlineStr">
        <is>
          <t>Forecasts (blue cells):</t>
        </is>
      </c>
    </row>
    <row r="13">
      <c r="A13" s="6" t="inlineStr">
        <is>
          <t xml:space="preserve">   C21 Gross Profit if Approved,  C23 Net Profit   -&gt;  click “+ Forecast” on each</t>
        </is>
      </c>
    </row>
    <row r="14">
      <c r="A14" s="6" t="inlineStr"/>
    </row>
    <row r="15">
      <c r="A15" s="6" t="inlineStr">
        <is>
          <t>Run settings (Run tab):  Trials 5000, Monte Carlo, fixed seed 999</t>
        </is>
      </c>
    </row>
    <row r="16">
      <c r="A16" s="6" t="inlineStr"/>
    </row>
    <row r="17">
      <c r="A17" s="5" t="inlineStr">
        <is>
          <t>Expected result for Net Profit (matches Oracle Crystal Ball):</t>
        </is>
      </c>
    </row>
    <row r="18">
      <c r="A18" s="6" t="inlineStr">
        <is>
          <t xml:space="preserve">   Certainty of Net Profit ≥ $0 ≈ 79%; certainty of ≥ $2MM ≈ 72%.</t>
        </is>
      </c>
    </row>
    <row r="19">
      <c r="A19" s="6" t="inlineStr"/>
    </row>
    <row r="20">
      <c r="A20" s="6" t="inlineStr">
        <is>
          <t>Note: the add-in's Normal truncation (min 5%) matches Crystal Ball's tutorial, but</t>
        </is>
      </c>
    </row>
    <row r="21">
      <c r="A21" s="6" t="inlineStr">
        <is>
          <t>truncation isn't exposed in the UI yet; results match closely without it too.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2026-10-23T21:57:47Z</dcterms:created>
  <dcterms:modified xmlns:dcterms="http://purl.org/dc/terms/" xmlns:xsi="http://www.w3.org/2001/XMLSchema-instance" xsi:type="dcterms:W3CDTF">2026-10-23T21:57:47Z</dcterms:modified>
</cp:coreProperties>
</file>